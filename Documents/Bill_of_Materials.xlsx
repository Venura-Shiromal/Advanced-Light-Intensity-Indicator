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hers\Myself\Personal\Programming\GitHub\Advanced-Light-Intensity-Indicator\Simulations\Proteus\"/>
    </mc:Choice>
  </mc:AlternateContent>
  <xr:revisionPtr revIDLastSave="0" documentId="13_ncr:1_{9D65B9DC-2EB2-45CD-8D25-BC5D837AF331}" xr6:coauthVersionLast="47" xr6:coauthVersionMax="47" xr10:uidLastSave="{00000000-0000-0000-0000-000000000000}"/>
  <bookViews>
    <workbookView xWindow="-108" yWindow="-108" windowWidth="23256" windowHeight="12456" xr2:uid="{C30DB1D2-AF66-40E6-98AD-2CEF8AC53444}"/>
  </bookViews>
  <sheets>
    <sheet name="Bill_of_Mater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" l="1"/>
  <c r="F37" i="1"/>
  <c r="F36" i="1"/>
  <c r="E38" i="1"/>
  <c r="D38" i="1"/>
  <c r="G31" i="1"/>
  <c r="G32" i="1"/>
  <c r="G5" i="1"/>
  <c r="G2" i="1"/>
  <c r="G3" i="1"/>
  <c r="G4" i="1"/>
  <c r="G6" i="1"/>
  <c r="G7" i="1"/>
  <c r="G8" i="1"/>
  <c r="G9" i="1"/>
  <c r="G10" i="1"/>
  <c r="G11" i="1"/>
  <c r="G12" i="1"/>
  <c r="G13" i="1"/>
  <c r="G14" i="1"/>
  <c r="G16" i="1"/>
  <c r="G17" i="1"/>
  <c r="G30" i="1"/>
  <c r="G29" i="1"/>
  <c r="G28" i="1"/>
  <c r="G27" i="1"/>
  <c r="G26" i="1"/>
  <c r="G19" i="1"/>
  <c r="G20" i="1"/>
  <c r="G21" i="1"/>
  <c r="G22" i="1"/>
  <c r="G23" i="1"/>
  <c r="G24" i="1"/>
  <c r="G25" i="1"/>
  <c r="G18" i="1"/>
  <c r="G15" i="1"/>
  <c r="G33" i="1" l="1"/>
</calcChain>
</file>

<file path=xl/sharedStrings.xml><?xml version="1.0" encoding="utf-8"?>
<sst xmlns="http://schemas.openxmlformats.org/spreadsheetml/2006/main" count="129" uniqueCount="69">
  <si>
    <t>Category</t>
  </si>
  <si>
    <t>Value</t>
  </si>
  <si>
    <t>Description</t>
  </si>
  <si>
    <t>Capacitors</t>
  </si>
  <si>
    <t>Ceramic</t>
  </si>
  <si>
    <t>1uF</t>
  </si>
  <si>
    <t>100nF</t>
  </si>
  <si>
    <t>100uF</t>
  </si>
  <si>
    <t>Electrolyt</t>
  </si>
  <si>
    <t>Resistors</t>
  </si>
  <si>
    <t>10k</t>
  </si>
  <si>
    <t>Resistors (Pull Up/Pull Down)</t>
  </si>
  <si>
    <t>Resistors (7-Segment Display)</t>
  </si>
  <si>
    <t>8.2k</t>
  </si>
  <si>
    <t>Resistors (Clock)</t>
  </si>
  <si>
    <t>1k</t>
  </si>
  <si>
    <t>Resistors (Comparator Ladder)</t>
  </si>
  <si>
    <t>100k</t>
  </si>
  <si>
    <t>Resistors (Change Detector)</t>
  </si>
  <si>
    <t>Miscellaneous</t>
  </si>
  <si>
    <t>Potentiometer</t>
  </si>
  <si>
    <t>Integrated Circuits</t>
  </si>
  <si>
    <t>7 Segment BCD Decoder</t>
  </si>
  <si>
    <t>Flash ADC Comparators</t>
  </si>
  <si>
    <t>74HC148</t>
  </si>
  <si>
    <t>Priority Encoder</t>
  </si>
  <si>
    <t>Multiplexer</t>
  </si>
  <si>
    <t>74HC14</t>
  </si>
  <si>
    <t>Inverter</t>
  </si>
  <si>
    <t>Quad D Flip Flop</t>
  </si>
  <si>
    <t>12 Stage Counter</t>
  </si>
  <si>
    <t>OR</t>
  </si>
  <si>
    <t>Octal D Flip Flop</t>
  </si>
  <si>
    <t>XOR</t>
  </si>
  <si>
    <t>4-Bit Full Adder</t>
  </si>
  <si>
    <t>LDR</t>
  </si>
  <si>
    <t>7 Segment Display</t>
  </si>
  <si>
    <t>Switch</t>
  </si>
  <si>
    <t>Push Button</t>
  </si>
  <si>
    <t>CD40175</t>
  </si>
  <si>
    <t>74LS83</t>
  </si>
  <si>
    <t>Hexa Node</t>
  </si>
  <si>
    <t>Qt.</t>
  </si>
  <si>
    <t>CD4040</t>
  </si>
  <si>
    <t>Price</t>
  </si>
  <si>
    <t>CD4070</t>
  </si>
  <si>
    <t>74LS273</t>
  </si>
  <si>
    <t>CD4053</t>
  </si>
  <si>
    <t>Store</t>
  </si>
  <si>
    <t>MCP6002</t>
  </si>
  <si>
    <t>Filter Op-Amp</t>
  </si>
  <si>
    <t>Unit Price (Rs)</t>
  </si>
  <si>
    <t>CD4511</t>
  </si>
  <si>
    <t>LM339N</t>
  </si>
  <si>
    <t>Department</t>
  </si>
  <si>
    <t>Duino</t>
  </si>
  <si>
    <t>74HC32N</t>
  </si>
  <si>
    <t>8-pin IC Socket</t>
  </si>
  <si>
    <t>16-pin IC Socket</t>
  </si>
  <si>
    <t>20-pin IC Socket</t>
  </si>
  <si>
    <t>20k</t>
  </si>
  <si>
    <t>Potentiometer (Trimmer)</t>
  </si>
  <si>
    <t>Ceramic (Clock)</t>
  </si>
  <si>
    <t>820k</t>
  </si>
  <si>
    <t>Resistors (Filter)</t>
  </si>
  <si>
    <t>Order</t>
  </si>
  <si>
    <t>Hexanode</t>
  </si>
  <si>
    <t>Delivery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</si>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</sst>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0" fontId="16" fillId="0" borderId="13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B27B-0043-474E-A30C-BA778C5308DD}">
  <dimension ref="A1:G39"/>
  <sheetViews>
    <sheetView tabSelected="1" workbookViewId="0">
      <selection activeCell="E6" sqref="E6"/>
    </sheetView>
  </sheetViews>
  <sheetFormatPr defaultRowHeight="14.4" x14ac:dyDescent="0.3"/>
  <cols>
    <col min="1" max="1" width="16.88671875" customWidth="1"/>
    <col min="2" max="2" width="5.109375" style="4" customWidth="1"/>
    <col min="3" max="3" width="14.109375" customWidth="1"/>
    <col min="4" max="4" width="25.77734375" customWidth="1"/>
    <col min="5" max="5" width="14.44140625" customWidth="1"/>
    <col min="6" max="6" width="13.88671875" customWidth="1"/>
    <col min="7" max="7" width="16.6640625" customWidth="1"/>
    <col min="8" max="8" width="15" customWidth="1"/>
  </cols>
  <sheetData>
    <row r="1" spans="1:7" x14ac:dyDescent="0.3">
      <c r="A1" s="8" t="s">
        <v>0</v>
      </c>
      <c r="B1" s="8" t="s">
        <v>42</v>
      </c>
      <c r="C1" s="8" t="s">
        <v>1</v>
      </c>
      <c r="D1" s="8" t="s">
        <v>2</v>
      </c>
      <c r="E1" s="8" t="s">
        <v>48</v>
      </c>
      <c r="F1" s="8" t="s">
        <v>51</v>
      </c>
      <c r="G1" s="8" t="s">
        <v>44</v>
      </c>
    </row>
    <row r="2" spans="1:7" x14ac:dyDescent="0.3">
      <c r="A2" s="1" t="s">
        <v>3</v>
      </c>
      <c r="B2" s="3">
        <v>2</v>
      </c>
      <c r="C2" s="1" t="s">
        <v>5</v>
      </c>
      <c r="D2" s="1" t="s">
        <v>62</v>
      </c>
      <c r="E2" s="1" t="s">
        <v>41</v>
      </c>
      <c r="F2" s="1">
        <v>5</v>
      </c>
      <c r="G2" s="1">
        <f t="shared" ref="G2:G14" si="0">F2*B2</f>
        <v>10</v>
      </c>
    </row>
    <row r="3" spans="1:7" x14ac:dyDescent="0.3">
      <c r="A3" s="1" t="s">
        <v>3</v>
      </c>
      <c r="B3" s="3">
        <v>29</v>
      </c>
      <c r="C3" s="1" t="s">
        <v>6</v>
      </c>
      <c r="D3" s="1" t="s">
        <v>4</v>
      </c>
      <c r="E3" s="1" t="s">
        <v>41</v>
      </c>
      <c r="F3" s="1">
        <v>8</v>
      </c>
      <c r="G3" s="1">
        <f t="shared" si="0"/>
        <v>232</v>
      </c>
    </row>
    <row r="4" spans="1:7" x14ac:dyDescent="0.3">
      <c r="A4" s="1" t="s">
        <v>3</v>
      </c>
      <c r="B4" s="3">
        <v>1</v>
      </c>
      <c r="C4" s="1" t="s">
        <v>7</v>
      </c>
      <c r="D4" s="1" t="s">
        <v>8</v>
      </c>
      <c r="E4" s="1" t="s">
        <v>55</v>
      </c>
      <c r="F4" s="1">
        <v>6</v>
      </c>
      <c r="G4" s="1">
        <f t="shared" si="0"/>
        <v>6</v>
      </c>
    </row>
    <row r="5" spans="1:7" x14ac:dyDescent="0.3">
      <c r="A5" s="1" t="s">
        <v>9</v>
      </c>
      <c r="B5" s="3">
        <v>10</v>
      </c>
      <c r="C5" s="1" t="s">
        <v>63</v>
      </c>
      <c r="D5" s="1" t="s">
        <v>64</v>
      </c>
      <c r="E5" s="1" t="s">
        <v>55</v>
      </c>
      <c r="F5" s="1">
        <v>1.5</v>
      </c>
      <c r="G5" s="1">
        <f t="shared" si="0"/>
        <v>15</v>
      </c>
    </row>
    <row r="6" spans="1:7" x14ac:dyDescent="0.3">
      <c r="A6" s="1" t="s">
        <v>9</v>
      </c>
      <c r="B6" s="3">
        <v>10</v>
      </c>
      <c r="C6" s="1" t="s">
        <v>10</v>
      </c>
      <c r="D6" s="1" t="s">
        <v>11</v>
      </c>
      <c r="E6" s="1" t="s">
        <v>55</v>
      </c>
      <c r="F6" s="1">
        <v>1.5</v>
      </c>
      <c r="G6" s="1">
        <f t="shared" si="0"/>
        <v>15</v>
      </c>
    </row>
    <row r="7" spans="1:7" x14ac:dyDescent="0.3">
      <c r="A7" s="1" t="s">
        <v>9</v>
      </c>
      <c r="B7" s="3">
        <v>14</v>
      </c>
      <c r="C7" s="2">
        <v>330</v>
      </c>
      <c r="D7" s="1" t="s">
        <v>12</v>
      </c>
      <c r="E7" s="1" t="s">
        <v>54</v>
      </c>
      <c r="F7" s="1">
        <v>0</v>
      </c>
      <c r="G7" s="1">
        <f t="shared" si="0"/>
        <v>0</v>
      </c>
    </row>
    <row r="8" spans="1:7" x14ac:dyDescent="0.3">
      <c r="A8" s="1" t="s">
        <v>9</v>
      </c>
      <c r="B8" s="3">
        <v>10</v>
      </c>
      <c r="C8" s="1" t="s">
        <v>13</v>
      </c>
      <c r="D8" s="1" t="s">
        <v>14</v>
      </c>
      <c r="E8" s="1" t="s">
        <v>55</v>
      </c>
      <c r="F8" s="1">
        <v>1.5</v>
      </c>
      <c r="G8" s="1">
        <f t="shared" si="0"/>
        <v>15</v>
      </c>
    </row>
    <row r="9" spans="1:7" x14ac:dyDescent="0.3">
      <c r="A9" s="1" t="s">
        <v>9</v>
      </c>
      <c r="B9" s="3">
        <v>8</v>
      </c>
      <c r="C9" s="1" t="s">
        <v>15</v>
      </c>
      <c r="D9" s="1" t="s">
        <v>16</v>
      </c>
      <c r="E9" s="1" t="s">
        <v>54</v>
      </c>
      <c r="F9" s="1">
        <v>0</v>
      </c>
      <c r="G9" s="1">
        <f t="shared" si="0"/>
        <v>0</v>
      </c>
    </row>
    <row r="10" spans="1:7" x14ac:dyDescent="0.3">
      <c r="A10" s="1" t="s">
        <v>9</v>
      </c>
      <c r="B10" s="3">
        <v>10</v>
      </c>
      <c r="C10" s="1" t="s">
        <v>17</v>
      </c>
      <c r="D10" s="1" t="s">
        <v>18</v>
      </c>
      <c r="E10" s="1" t="s">
        <v>55</v>
      </c>
      <c r="F10" s="1">
        <v>1.5</v>
      </c>
      <c r="G10" s="1">
        <f t="shared" si="0"/>
        <v>15</v>
      </c>
    </row>
    <row r="11" spans="1:7" x14ac:dyDescent="0.3">
      <c r="A11" s="1" t="s">
        <v>9</v>
      </c>
      <c r="B11" s="3">
        <v>1</v>
      </c>
      <c r="C11" s="1" t="s">
        <v>60</v>
      </c>
      <c r="D11" s="1" t="s">
        <v>61</v>
      </c>
      <c r="E11" s="1" t="s">
        <v>55</v>
      </c>
      <c r="F11" s="1">
        <v>45</v>
      </c>
      <c r="G11" s="1">
        <f t="shared" si="0"/>
        <v>45</v>
      </c>
    </row>
    <row r="12" spans="1:7" x14ac:dyDescent="0.3">
      <c r="A12" s="1" t="s">
        <v>9</v>
      </c>
      <c r="B12" s="3">
        <v>1</v>
      </c>
      <c r="C12" s="1" t="s">
        <v>60</v>
      </c>
      <c r="D12" s="1" t="s">
        <v>20</v>
      </c>
      <c r="E12" s="1" t="s">
        <v>55</v>
      </c>
      <c r="F12" s="1">
        <v>80</v>
      </c>
      <c r="G12" s="1">
        <f t="shared" si="0"/>
        <v>80</v>
      </c>
    </row>
    <row r="13" spans="1:7" x14ac:dyDescent="0.3">
      <c r="A13" s="1" t="s">
        <v>9</v>
      </c>
      <c r="B13" s="3">
        <v>1</v>
      </c>
      <c r="C13" s="1" t="s">
        <v>17</v>
      </c>
      <c r="D13" s="1" t="s">
        <v>20</v>
      </c>
      <c r="E13" s="1" t="s">
        <v>55</v>
      </c>
      <c r="F13" s="1">
        <v>65</v>
      </c>
      <c r="G13" s="1">
        <f t="shared" si="0"/>
        <v>65</v>
      </c>
    </row>
    <row r="14" spans="1:7" x14ac:dyDescent="0.3">
      <c r="A14" s="1" t="s">
        <v>21</v>
      </c>
      <c r="B14" s="3">
        <v>2</v>
      </c>
      <c r="C14" s="1" t="s">
        <v>52</v>
      </c>
      <c r="D14" s="1" t="s">
        <v>22</v>
      </c>
      <c r="E14" s="1" t="s">
        <v>54</v>
      </c>
      <c r="F14" s="1">
        <v>0</v>
      </c>
      <c r="G14" s="1">
        <f t="shared" si="0"/>
        <v>0</v>
      </c>
    </row>
    <row r="15" spans="1:7" x14ac:dyDescent="0.3">
      <c r="A15" s="1" t="s">
        <v>21</v>
      </c>
      <c r="B15" s="3">
        <v>1</v>
      </c>
      <c r="C15" s="1" t="s">
        <v>49</v>
      </c>
      <c r="D15" s="1" t="s">
        <v>50</v>
      </c>
      <c r="E15" s="1" t="s">
        <v>41</v>
      </c>
      <c r="F15" s="1">
        <v>75</v>
      </c>
      <c r="G15" s="1">
        <f>F15*B15</f>
        <v>75</v>
      </c>
    </row>
    <row r="16" spans="1:7" x14ac:dyDescent="0.3">
      <c r="A16" s="1" t="s">
        <v>21</v>
      </c>
      <c r="B16" s="3">
        <v>2</v>
      </c>
      <c r="C16" s="1" t="s">
        <v>53</v>
      </c>
      <c r="D16" s="1" t="s">
        <v>23</v>
      </c>
      <c r="E16" s="1" t="s">
        <v>54</v>
      </c>
      <c r="F16" s="1">
        <v>0</v>
      </c>
      <c r="G16" s="1">
        <f t="shared" ref="G16:G17" si="1">F16*B16</f>
        <v>0</v>
      </c>
    </row>
    <row r="17" spans="1:7" x14ac:dyDescent="0.3">
      <c r="A17" s="1" t="s">
        <v>21</v>
      </c>
      <c r="B17" s="3">
        <v>1</v>
      </c>
      <c r="C17" s="1" t="s">
        <v>24</v>
      </c>
      <c r="D17" s="1" t="s">
        <v>25</v>
      </c>
      <c r="E17" s="1" t="s">
        <v>54</v>
      </c>
      <c r="F17" s="1">
        <v>0</v>
      </c>
      <c r="G17" s="1">
        <f t="shared" si="1"/>
        <v>0</v>
      </c>
    </row>
    <row r="18" spans="1:7" x14ac:dyDescent="0.3">
      <c r="A18" s="1" t="s">
        <v>21</v>
      </c>
      <c r="B18" s="3">
        <v>1</v>
      </c>
      <c r="C18" s="1" t="s">
        <v>47</v>
      </c>
      <c r="D18" s="1" t="s">
        <v>26</v>
      </c>
      <c r="E18" s="1" t="s">
        <v>41</v>
      </c>
      <c r="F18" s="1">
        <v>42</v>
      </c>
      <c r="G18" s="1">
        <f t="shared" ref="G18:G30" si="2">F18*B18</f>
        <v>42</v>
      </c>
    </row>
    <row r="19" spans="1:7" x14ac:dyDescent="0.3">
      <c r="A19" s="1" t="s">
        <v>21</v>
      </c>
      <c r="B19" s="3">
        <v>1</v>
      </c>
      <c r="C19" s="1" t="s">
        <v>27</v>
      </c>
      <c r="D19" s="1" t="s">
        <v>28</v>
      </c>
      <c r="E19" s="1" t="s">
        <v>41</v>
      </c>
      <c r="F19" s="1">
        <v>110</v>
      </c>
      <c r="G19" s="1">
        <f t="shared" si="2"/>
        <v>110</v>
      </c>
    </row>
    <row r="20" spans="1:7" x14ac:dyDescent="0.3">
      <c r="A20" s="1" t="s">
        <v>21</v>
      </c>
      <c r="B20" s="3">
        <v>1</v>
      </c>
      <c r="C20" s="1" t="s">
        <v>39</v>
      </c>
      <c r="D20" s="1" t="s">
        <v>29</v>
      </c>
      <c r="E20" s="1" t="s">
        <v>41</v>
      </c>
      <c r="F20" s="1">
        <v>200</v>
      </c>
      <c r="G20" s="1">
        <f t="shared" si="2"/>
        <v>200</v>
      </c>
    </row>
    <row r="21" spans="1:7" x14ac:dyDescent="0.3">
      <c r="A21" s="1" t="s">
        <v>21</v>
      </c>
      <c r="B21" s="3">
        <v>2</v>
      </c>
      <c r="C21" s="1" t="s">
        <v>43</v>
      </c>
      <c r="D21" s="1" t="s">
        <v>30</v>
      </c>
      <c r="E21" s="1" t="s">
        <v>41</v>
      </c>
      <c r="F21" s="1">
        <v>65</v>
      </c>
      <c r="G21" s="1">
        <f t="shared" si="2"/>
        <v>130</v>
      </c>
    </row>
    <row r="22" spans="1:7" x14ac:dyDescent="0.3">
      <c r="A22" s="1" t="s">
        <v>21</v>
      </c>
      <c r="B22" s="3">
        <v>1</v>
      </c>
      <c r="C22" s="5" t="s">
        <v>56</v>
      </c>
      <c r="D22" s="1" t="s">
        <v>31</v>
      </c>
      <c r="E22" s="1" t="s">
        <v>55</v>
      </c>
      <c r="F22" s="1">
        <v>55</v>
      </c>
      <c r="G22" s="1">
        <f t="shared" si="2"/>
        <v>55</v>
      </c>
    </row>
    <row r="23" spans="1:7" x14ac:dyDescent="0.3">
      <c r="A23" s="1" t="s">
        <v>21</v>
      </c>
      <c r="B23" s="3">
        <v>3</v>
      </c>
      <c r="C23" s="1" t="s">
        <v>46</v>
      </c>
      <c r="D23" s="1" t="s">
        <v>32</v>
      </c>
      <c r="E23" s="1" t="s">
        <v>41</v>
      </c>
      <c r="F23" s="1">
        <v>110</v>
      </c>
      <c r="G23" s="1">
        <f t="shared" si="2"/>
        <v>330</v>
      </c>
    </row>
    <row r="24" spans="1:7" x14ac:dyDescent="0.3">
      <c r="A24" s="1" t="s">
        <v>21</v>
      </c>
      <c r="B24" s="3">
        <v>1</v>
      </c>
      <c r="C24" s="1" t="s">
        <v>45</v>
      </c>
      <c r="D24" s="1" t="s">
        <v>33</v>
      </c>
      <c r="E24" s="1" t="s">
        <v>41</v>
      </c>
      <c r="F24" s="1">
        <v>75</v>
      </c>
      <c r="G24" s="1">
        <f t="shared" si="2"/>
        <v>75</v>
      </c>
    </row>
    <row r="25" spans="1:7" x14ac:dyDescent="0.3">
      <c r="A25" s="1" t="s">
        <v>21</v>
      </c>
      <c r="B25" s="3">
        <v>8</v>
      </c>
      <c r="C25" s="1" t="s">
        <v>40</v>
      </c>
      <c r="D25" s="1" t="s">
        <v>34</v>
      </c>
      <c r="E25" s="1" t="s">
        <v>41</v>
      </c>
      <c r="F25" s="1">
        <v>120</v>
      </c>
      <c r="G25" s="1">
        <f t="shared" si="2"/>
        <v>960</v>
      </c>
    </row>
    <row r="26" spans="1:7" x14ac:dyDescent="0.3">
      <c r="A26" s="1" t="s">
        <v>21</v>
      </c>
      <c r="B26" s="3">
        <v>1</v>
      </c>
      <c r="C26" s="1"/>
      <c r="D26" s="1" t="s">
        <v>57</v>
      </c>
      <c r="E26" s="1" t="s">
        <v>55</v>
      </c>
      <c r="F26" s="1">
        <v>12</v>
      </c>
      <c r="G26" s="1">
        <f t="shared" si="2"/>
        <v>12</v>
      </c>
    </row>
    <row r="27" spans="1:7" x14ac:dyDescent="0.3">
      <c r="A27" s="1" t="s">
        <v>21</v>
      </c>
      <c r="B27" s="3">
        <v>20</v>
      </c>
      <c r="C27" s="1"/>
      <c r="D27" s="1" t="s">
        <v>58</v>
      </c>
      <c r="E27" s="1" t="s">
        <v>55</v>
      </c>
      <c r="F27" s="1">
        <v>20</v>
      </c>
      <c r="G27" s="1">
        <f t="shared" si="2"/>
        <v>400</v>
      </c>
    </row>
    <row r="28" spans="1:7" x14ac:dyDescent="0.3">
      <c r="A28" s="1" t="s">
        <v>21</v>
      </c>
      <c r="B28" s="3">
        <v>3</v>
      </c>
      <c r="C28" s="1"/>
      <c r="D28" s="1" t="s">
        <v>59</v>
      </c>
      <c r="E28" s="1" t="s">
        <v>55</v>
      </c>
      <c r="F28" s="1">
        <v>30</v>
      </c>
      <c r="G28" s="1">
        <f t="shared" si="2"/>
        <v>90</v>
      </c>
    </row>
    <row r="29" spans="1:7" x14ac:dyDescent="0.3">
      <c r="A29" s="1" t="s">
        <v>19</v>
      </c>
      <c r="B29" s="3">
        <v>1</v>
      </c>
      <c r="C29" s="1"/>
      <c r="D29" s="1" t="s">
        <v>35</v>
      </c>
      <c r="E29" s="1" t="s">
        <v>54</v>
      </c>
      <c r="F29" s="1">
        <v>0</v>
      </c>
      <c r="G29" s="1">
        <f t="shared" si="2"/>
        <v>0</v>
      </c>
    </row>
    <row r="30" spans="1:7" x14ac:dyDescent="0.3">
      <c r="A30" s="1" t="s">
        <v>19</v>
      </c>
      <c r="B30" s="3">
        <v>2</v>
      </c>
      <c r="C30" s="1"/>
      <c r="D30" s="1" t="s">
        <v>36</v>
      </c>
      <c r="E30" s="1" t="s">
        <v>54</v>
      </c>
      <c r="F30" s="1">
        <v>0</v>
      </c>
      <c r="G30" s="1">
        <f t="shared" si="2"/>
        <v>0</v>
      </c>
    </row>
    <row r="31" spans="1:7" x14ac:dyDescent="0.3">
      <c r="A31" s="1" t="s">
        <v>19</v>
      </c>
      <c r="B31" s="3">
        <v>1</v>
      </c>
      <c r="C31" s="1"/>
      <c r="D31" s="1" t="s">
        <v>37</v>
      </c>
      <c r="E31" s="1"/>
      <c r="F31" s="1"/>
      <c r="G31" s="1">
        <f t="shared" ref="G31:G32" si="3">F31*B31</f>
        <v>0</v>
      </c>
    </row>
    <row r="32" spans="1:7" x14ac:dyDescent="0.3">
      <c r="A32" s="1" t="s">
        <v>19</v>
      </c>
      <c r="B32" s="3">
        <v>1</v>
      </c>
      <c r="C32" s="1"/>
      <c r="D32" s="1" t="s">
        <v>38</v>
      </c>
      <c r="E32" s="1" t="s">
        <v>41</v>
      </c>
      <c r="F32" s="1">
        <v>10</v>
      </c>
      <c r="G32" s="1">
        <f t="shared" si="3"/>
        <v>10</v>
      </c>
    </row>
    <row r="33" spans="3:7" ht="15" thickBot="1" x14ac:dyDescent="0.35">
      <c r="G33" s="6">
        <f>SUM(G2:G32)</f>
        <v>2987</v>
      </c>
    </row>
    <row r="34" spans="3:7" ht="15" thickTop="1" x14ac:dyDescent="0.3"/>
    <row r="35" spans="3:7" x14ac:dyDescent="0.3">
      <c r="C35" s="8" t="s">
        <v>65</v>
      </c>
      <c r="D35" s="8" t="s">
        <v>44</v>
      </c>
      <c r="E35" s="8" t="s">
        <v>67</v>
      </c>
      <c r="F35" s="8" t="s">
        <v>68</v>
      </c>
    </row>
    <row r="36" spans="3:7" x14ac:dyDescent="0.3">
      <c r="C36" s="3" t="s">
        <v>66</v>
      </c>
      <c r="D36" s="7">
        <v>2174</v>
      </c>
      <c r="E36" s="3">
        <v>500</v>
      </c>
      <c r="F36" s="3">
        <f>SUM(D36:E36)</f>
        <v>2674</v>
      </c>
    </row>
    <row r="37" spans="3:7" x14ac:dyDescent="0.3">
      <c r="C37" s="3" t="s">
        <v>55</v>
      </c>
      <c r="D37" s="3">
        <v>813</v>
      </c>
      <c r="E37" s="3">
        <v>480</v>
      </c>
      <c r="F37" s="3">
        <f>SUM(D37:E37)</f>
        <v>1293</v>
      </c>
    </row>
    <row r="38" spans="3:7" ht="15" thickBot="1" x14ac:dyDescent="0.35">
      <c r="C38" s="8" t="s">
        <v>68</v>
      </c>
      <c r="D38" s="3">
        <f>SUM(D36:D37)</f>
        <v>2987</v>
      </c>
      <c r="E38" s="3">
        <f>SUM(E36:E37)</f>
        <v>980</v>
      </c>
      <c r="F38" s="9">
        <f>SUM(D38:E38)</f>
        <v>3967</v>
      </c>
    </row>
    <row r="39" spans="3:7" ht="15" thickTop="1" x14ac:dyDescent="0.3"/>
  </sheetData>
  <pageMargins left="0.70866141732283472" right="0.70866141732283472" top="0.74803149606299213" bottom="0.74803149606299213" header="0.31496062992125984" footer="0.31496062992125984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Venura Shiromal</dc:creator>
  <cp:lastModifiedBy>Venura Shiromal</cp:lastModifiedBy>
  <cp:lastPrinted>2026-09-24T15:11:34Z</cp:lastPrinted>
  <dcterms:created xsi:type="dcterms:W3CDTF">2026-09-23T04:06:48Z</dcterms:created>
  <dcterms:modified xsi:type="dcterms:W3CDTF">2026-09-24T15:11:40Z</dcterms:modified>
</cp:coreProperties>
</file>